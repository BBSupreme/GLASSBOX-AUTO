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</workbook>
</file>

<file path=xl/sharedStrings.xml><?xml version="1.0" encoding="utf-8"?>
<sst xmlns="http://schemas.openxmlformats.org/spreadsheetml/2006/main" count="92" uniqueCount="73">
  <si>
    <t>Kriterium</t>
  </si>
  <si>
    <t>Polestar 2</t>
  </si>
  <si>
    <t>Tesla Model Y</t>
  </si>
  <si>
    <t>BMW iX1 xDrive 30M Sport</t>
  </si>
  <si>
    <t>Kia Niro EV</t>
  </si>
  <si>
    <t>Skoda Elroq 85</t>
  </si>
  <si>
    <t>Kia EV3 Upgrade</t>
  </si>
  <si>
    <t>Økonomi</t>
  </si>
  <si>
    <t>Leasingydelse pr. måned</t>
  </si>
  <si>
    <t>Fra 4.495 kr.</t>
  </si>
  <si>
    <t>4.280 kr./md.</t>
  </si>
  <si>
    <t>Førstegangsydelse</t>
  </si>
  <si>
    <t>14.995 kr.</t>
  </si>
  <si>
    <t>9.995 kr.</t>
  </si>
  <si>
    <t>Etableringsomkostninger</t>
  </si>
  <si>
    <t>Leasingperiode</t>
  </si>
  <si>
    <t>36 måneder</t>
  </si>
  <si>
    <r>
      <t xml:space="preserve">48 måneder </t>
    </r>
    <r>
      <rPr>
        <color rgb="FF1155CC"/>
        <sz val="10.0"/>
        <u/>
      </rPr>
      <t>FDM</t>
    </r>
  </si>
  <si>
    <t>Kilometer pr. år</t>
  </si>
  <si>
    <t>15.000 km</t>
  </si>
  <si>
    <t>10.000 km</t>
  </si>
  <si>
    <t>15.000 km/år</t>
  </si>
  <si>
    <t>Overkørte km. afregnes med</t>
  </si>
  <si>
    <t xml:space="preserve">Mangler </t>
  </si>
  <si>
    <t>Endnu ikke info</t>
  </si>
  <si>
    <t>Totalomkostninger i perioden</t>
  </si>
  <si>
    <t>171.815 kr.</t>
  </si>
  <si>
    <t>216.035 k</t>
  </si>
  <si>
    <t>Mindstepris i bindingsperiode</t>
  </si>
  <si>
    <t>65.135 kr.</t>
  </si>
  <si>
    <t>Administrationsgebyr pr. måned</t>
  </si>
  <si>
    <t>Afleveringsgebyr</t>
  </si>
  <si>
    <t>Driftsøkonomi</t>
  </si>
  <si>
    <t>Grøn afgift</t>
  </si>
  <si>
    <t>Inkluderet</t>
  </si>
  <si>
    <r>
      <t xml:space="preserve">Inkluderet </t>
    </r>
    <r>
      <rPr>
        <color rgb="FF1155CC"/>
        <sz val="10.0"/>
        <u/>
      </rPr>
      <t>FDM</t>
    </r>
  </si>
  <si>
    <t>Forsikring</t>
  </si>
  <si>
    <t>6357 kr. pr. år</t>
  </si>
  <si>
    <t>6575 kr. pr. år</t>
  </si>
  <si>
    <t>5799 kr. pr. år</t>
  </si>
  <si>
    <t>6878 pr. år</t>
  </si>
  <si>
    <t>Parkeringslicens</t>
  </si>
  <si>
    <t>1200 kr. pr. år</t>
  </si>
  <si>
    <t>El-opladning, forbrug</t>
  </si>
  <si>
    <t>FDM beregnet forbrug</t>
  </si>
  <si>
    <t>3,25 kr./km</t>
  </si>
  <si>
    <t>4,00 kr./km</t>
  </si>
  <si>
    <t>Specifikationer</t>
  </si>
  <si>
    <t>Størrelse</t>
  </si>
  <si>
    <t>L:450 cm B:185 cm H:164 cm</t>
  </si>
  <si>
    <t>L:438 cm B:181 cm H:157 cm</t>
  </si>
  <si>
    <t>L:431 cm B:185 cm H:157 cm</t>
  </si>
  <si>
    <t>Bagagerum</t>
  </si>
  <si>
    <t>490 liter</t>
  </si>
  <si>
    <t>451 liter</t>
  </si>
  <si>
    <t>460 liter</t>
  </si>
  <si>
    <t>Rækkevide</t>
  </si>
  <si>
    <t>460 km</t>
  </si>
  <si>
    <t>591 km</t>
  </si>
  <si>
    <t>Ladetid</t>
  </si>
  <si>
    <t>43 min, lydladning - 6,5 time v. max ladeeffekt</t>
  </si>
  <si>
    <t>31min lynladning, - 7,5t v. max ladeeffekt</t>
  </si>
  <si>
    <t xml:space="preserve">Euro NCAP </t>
  </si>
  <si>
    <t>5 stjerner</t>
  </si>
  <si>
    <t>Behov</t>
  </si>
  <si>
    <t>km</t>
  </si>
  <si>
    <t>arbejde</t>
  </si>
  <si>
    <t>3-4 gange om ugen</t>
  </si>
  <si>
    <t>Sommerhus</t>
  </si>
  <si>
    <t>6 gange om året</t>
  </si>
  <si>
    <t>Roskilde</t>
  </si>
  <si>
    <t>Udefineret</t>
  </si>
  <si>
    <t>x gange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</si>
</sst>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kr-406]\ #,##0.00"/>
    <numFmt numFmtId="165" formatCode="#,##0&quot;kr&quot;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161718"/>
      <name val="Arial"/>
      <scheme val="minor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rgb="FF000000"/>
      <name val="Trasandina_regularregula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2">
    <border/>
    <border>
      <left style="thin">
        <color rgb="FF284E3F"/>
      </left>
      <right style="thin">
        <color rgb="FF000000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000000"/>
      </right>
      <top style="thin">
        <color rgb="FFB6D7A8"/>
      </top>
      <bottom style="thin">
        <color rgb="FF000000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000000"/>
      </bottom>
    </border>
    <border>
      <left style="thin">
        <color rgb="FFB6D7A8"/>
      </left>
      <right style="thin">
        <color rgb="FF284E3F"/>
      </right>
      <top style="thin">
        <color rgb="FFB6D7A8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284E3F"/>
      </right>
      <top style="thin">
        <color rgb="FFFFF2CC"/>
      </top>
      <bottom style="thin">
        <color rgb="FFFFF2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6D7A8"/>
      </left>
      <right style="thin">
        <color rgb="FFB6D7A8"/>
      </right>
      <top style="thin">
        <color rgb="FF000000"/>
      </top>
      <bottom style="thin">
        <color rgb="FF000000"/>
      </bottom>
    </border>
    <border>
      <left style="thin">
        <color rgb="FFB6D7A8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000000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2" fontId="1" numFmtId="0" xfId="0" applyAlignment="1" applyBorder="1" applyFill="1" applyFont="1">
      <alignment readingOrder="0" shrinkToFit="0" vertical="center" wrapText="0"/>
    </xf>
    <xf borderId="5" fillId="2" fontId="2" numFmtId="164" xfId="0" applyAlignment="1" applyBorder="1" applyFont="1" applyNumberForma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6" fillId="2" fontId="2" numFmtId="164" xfId="0" applyAlignment="1" applyBorder="1" applyFont="1" applyNumberFormat="1">
      <alignment readingOrder="0" shrinkToFit="0" vertical="center" wrapText="0"/>
    </xf>
    <xf borderId="0" fillId="3" fontId="2" numFmtId="0" xfId="0" applyFill="1" applyFont="1"/>
    <xf borderId="7" fillId="4" fontId="2" numFmtId="0" xfId="0" applyAlignment="1" applyBorder="1" applyFill="1" applyFont="1">
      <alignment readingOrder="0" shrinkToFit="0" vertical="center" wrapText="0"/>
    </xf>
    <xf borderId="8" fillId="4" fontId="3" numFmtId="164" xfId="0" applyAlignment="1" applyBorder="1" applyFont="1" applyNumberFormat="1">
      <alignment horizontal="center" readingOrder="0" shrinkToFit="0" vertical="center" wrapText="0"/>
    </xf>
    <xf borderId="8" fillId="4" fontId="3" numFmtId="0" xfId="0" applyAlignment="1" applyBorder="1" applyFont="1">
      <alignment horizontal="center" readingOrder="0" shrinkToFit="0" vertical="center" wrapText="0"/>
    </xf>
    <xf borderId="8" fillId="4" fontId="3" numFmtId="164" xfId="0" applyAlignment="1" applyBorder="1" applyFont="1" applyNumberFormat="1">
      <alignment horizontal="center" readingOrder="0" shrinkToFit="0" vertical="center" wrapText="0"/>
    </xf>
    <xf borderId="8" fillId="4" fontId="4" numFmtId="0" xfId="0" applyAlignment="1" applyBorder="1" applyFont="1">
      <alignment horizontal="center" readingOrder="0" shrinkToFit="0" vertical="center" wrapText="0"/>
    </xf>
    <xf borderId="9" fillId="4" fontId="3" numFmtId="164" xfId="0" applyAlignment="1" applyBorder="1" applyFont="1" applyNumberFormat="1">
      <alignment horizontal="center" readingOrder="0" shrinkToFit="0" vertical="center" wrapText="0"/>
    </xf>
    <xf borderId="8" fillId="4" fontId="3" numFmtId="0" xfId="0" applyAlignment="1" applyBorder="1" applyFont="1">
      <alignment horizontal="center" readingOrder="0" shrinkToFit="0" vertical="center" wrapText="0"/>
    </xf>
    <xf borderId="8" fillId="4" fontId="5" numFmtId="0" xfId="0" applyAlignment="1" applyBorder="1" applyFont="1">
      <alignment horizontal="center" readingOrder="0" shrinkToFit="0" vertical="center" wrapText="0"/>
    </xf>
    <xf borderId="9" fillId="4" fontId="3" numFmtId="0" xfId="0" applyAlignment="1" applyBorder="1" applyFont="1">
      <alignment horizontal="center" readingOrder="0" shrinkToFit="0" vertical="center" wrapText="0"/>
    </xf>
    <xf borderId="8" fillId="4" fontId="4" numFmtId="4" xfId="0" applyAlignment="1" applyBorder="1" applyFont="1" applyNumberFormat="1">
      <alignment horizontal="center" readingOrder="0" shrinkToFit="0" vertical="center" wrapText="0"/>
    </xf>
    <xf borderId="8" fillId="4" fontId="4" numFmtId="0" xfId="0" applyAlignment="1" applyBorder="1" applyFont="1">
      <alignment horizontal="center" readingOrder="0" shrinkToFit="0" vertical="center" wrapText="0"/>
    </xf>
    <xf borderId="9" fillId="4" fontId="4" numFmtId="0" xfId="0" applyAlignment="1" applyBorder="1" applyFont="1">
      <alignment horizontal="center" readingOrder="0" shrinkToFit="0" vertical="center" wrapText="0"/>
    </xf>
    <xf borderId="8" fillId="4" fontId="0" numFmtId="164" xfId="0" applyAlignment="1" applyBorder="1" applyFont="1" applyNumberFormat="1">
      <alignment horizontal="center" readingOrder="0" shrinkToFit="0" vertical="center" wrapText="0"/>
    </xf>
    <xf borderId="8" fillId="4" fontId="3" numFmtId="164" xfId="0" applyAlignment="1" applyBorder="1" applyFont="1" applyNumberFormat="1">
      <alignment readingOrder="0" shrinkToFit="0" vertical="center" wrapText="0"/>
    </xf>
    <xf borderId="8" fillId="4" fontId="0" numFmtId="164" xfId="0" applyAlignment="1" applyBorder="1" applyFont="1" applyNumberFormat="1">
      <alignment horizontal="center" readingOrder="0" shrinkToFit="0" vertical="center" wrapText="0"/>
    </xf>
    <xf borderId="8" fillId="4" fontId="4" numFmtId="165" xfId="0" applyAlignment="1" applyBorder="1" applyFont="1" applyNumberFormat="1">
      <alignment horizontal="center" readingOrder="0" shrinkToFit="0" vertical="center" wrapText="0"/>
    </xf>
    <xf borderId="9" fillId="4" fontId="0" numFmtId="164" xfId="0" applyAlignment="1" applyBorder="1" applyFont="1" applyNumberFormat="1">
      <alignment horizontal="center" readingOrder="0" shrinkToFit="0" vertical="center" wrapText="0"/>
    </xf>
    <xf borderId="10" fillId="2" fontId="1" numFmtId="0" xfId="0" applyAlignment="1" applyBorder="1" applyFont="1">
      <alignment readingOrder="0" shrinkToFit="0" vertical="center" wrapText="0"/>
    </xf>
    <xf borderId="11" fillId="2" fontId="2" numFmtId="164" xfId="0" applyAlignment="1" applyBorder="1" applyFont="1" applyNumberFormat="1">
      <alignment readingOrder="0" shrinkToFit="0" vertical="center" wrapText="0"/>
    </xf>
    <xf borderId="11" fillId="2" fontId="2" numFmtId="0" xfId="0" applyAlignment="1" applyBorder="1" applyFont="1">
      <alignment readingOrder="0" shrinkToFit="0" vertical="center" wrapText="0"/>
    </xf>
    <xf borderId="12" fillId="2" fontId="2" numFmtId="164" xfId="0" applyAlignment="1" applyBorder="1" applyFont="1" applyNumberForma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4" fillId="0" fontId="3" numFmtId="0" xfId="0" applyAlignment="1" applyBorder="1" applyFont="1">
      <alignment horizontal="center" readingOrder="0" shrinkToFit="0" vertical="center" wrapText="0"/>
    </xf>
    <xf borderId="14" fillId="0" fontId="3" numFmtId="164" xfId="0" applyAlignment="1" applyBorder="1" applyFont="1" applyNumberFormat="1">
      <alignment horizontal="center" shrinkToFit="0" vertical="center" wrapText="0"/>
    </xf>
    <xf borderId="14" fillId="0" fontId="3" numFmtId="164" xfId="0" applyAlignment="1" applyBorder="1" applyFont="1" applyNumberFormat="1">
      <alignment horizontal="center" readingOrder="0" shrinkToFit="0" vertical="center" wrapText="0"/>
    </xf>
    <xf borderId="14" fillId="0" fontId="6" numFmtId="0" xfId="0" applyAlignment="1" applyBorder="1" applyFont="1">
      <alignment horizontal="center" readingOrder="0" shrinkToFit="0" vertical="center" wrapText="0"/>
    </xf>
    <xf borderId="15" fillId="0" fontId="3" numFmtId="164" xfId="0" applyAlignment="1" applyBorder="1" applyFont="1" applyNumberFormat="1">
      <alignment horizontal="center" readingOrder="0" shrinkToFit="0" vertical="center" wrapText="0"/>
    </xf>
    <xf borderId="16" fillId="0" fontId="2" numFmtId="0" xfId="0" applyAlignment="1" applyBorder="1" applyFont="1">
      <alignment readingOrder="0" shrinkToFit="0" vertical="center" wrapText="0"/>
    </xf>
    <xf borderId="17" fillId="0" fontId="3" numFmtId="164" xfId="0" applyAlignment="1" applyBorder="1" applyFont="1" applyNumberFormat="1">
      <alignment horizontal="center" shrinkToFit="0" vertical="center" wrapText="0"/>
    </xf>
    <xf borderId="17" fillId="0" fontId="3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horizontal="center" readingOrder="0" shrinkToFit="0" vertical="center" wrapText="0"/>
    </xf>
    <xf borderId="17" fillId="0" fontId="3" numFmtId="164" xfId="0" applyAlignment="1" applyBorder="1" applyFont="1" applyNumberFormat="1">
      <alignment horizontal="center" readingOrder="0" shrinkToFit="0" vertical="center" wrapText="0"/>
    </xf>
    <xf borderId="18" fillId="0" fontId="3" numFmtId="0" xfId="0" applyAlignment="1" applyBorder="1" applyFont="1">
      <alignment horizontal="center" readingOrder="0" shrinkToFit="0" vertical="center" wrapText="0"/>
    </xf>
    <xf borderId="14" fillId="3" fontId="7" numFmtId="164" xfId="0" applyAlignment="1" applyBorder="1" applyFont="1" applyNumberFormat="1">
      <alignment horizontal="center" readingOrder="0" shrinkToFit="0" vertical="center" wrapText="0"/>
    </xf>
    <xf borderId="15" fillId="3" fontId="7" numFmtId="164" xfId="0" applyAlignment="1" applyBorder="1" applyFont="1" applyNumberFormat="1">
      <alignment horizontal="center" readingOrder="0" shrinkToFit="0" vertical="center" wrapText="0"/>
    </xf>
    <xf borderId="14" fillId="3" fontId="7" numFmtId="0" xfId="0" applyAlignment="1" applyBorder="1" applyFont="1">
      <alignment horizontal="center" readingOrder="0" shrinkToFit="0" vertical="center" wrapText="0"/>
    </xf>
    <xf borderId="11" fillId="2" fontId="3" numFmtId="164" xfId="0" applyAlignment="1" applyBorder="1" applyFont="1" applyNumberFormat="1">
      <alignment shrinkToFit="0" vertical="center" wrapText="0"/>
    </xf>
    <xf borderId="11" fillId="2" fontId="3" numFmtId="0" xfId="0" applyAlignment="1" applyBorder="1" applyFont="1">
      <alignment shrinkToFit="0" vertical="center" wrapText="0"/>
    </xf>
    <xf borderId="12" fillId="2" fontId="3" numFmtId="164" xfId="0" applyAlignment="1" applyBorder="1" applyFont="1" applyNumberFormat="1">
      <alignment shrinkToFit="0" vertical="center" wrapText="0"/>
    </xf>
    <xf borderId="14" fillId="0" fontId="3" numFmtId="164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4" fillId="3" fontId="7" numFmtId="164" xfId="0" applyAlignment="1" applyBorder="1" applyFont="1" applyNumberFormat="1">
      <alignment horizontal="left" readingOrder="0" shrinkToFit="0" vertical="center" wrapText="0"/>
    </xf>
    <xf borderId="14" fillId="3" fontId="7" numFmtId="0" xfId="0" applyAlignment="1" applyBorder="1" applyFont="1">
      <alignment readingOrder="0" shrinkToFit="0" vertical="center" wrapText="0"/>
    </xf>
    <xf borderId="15" fillId="3" fontId="7" numFmtId="164" xfId="0" applyAlignment="1" applyBorder="1" applyFont="1" applyNumberFormat="1">
      <alignment horizontal="left" readingOrder="0" shrinkToFit="0" vertical="center" wrapText="0"/>
    </xf>
    <xf borderId="17" fillId="0" fontId="3" numFmtId="164" xfId="0" applyAlignment="1" applyBorder="1" applyFont="1" applyNumberFormat="1">
      <alignment shrinkToFit="0" vertical="center" wrapText="0"/>
    </xf>
    <xf borderId="17" fillId="0" fontId="3" numFmtId="0" xfId="0" applyAlignment="1" applyBorder="1" applyFont="1">
      <alignment shrinkToFit="0" vertical="center" wrapText="0"/>
    </xf>
    <xf borderId="14" fillId="0" fontId="3" numFmtId="0" xfId="0" applyAlignment="1" applyBorder="1" applyFont="1">
      <alignment readingOrder="0" shrinkToFit="0" vertical="center" wrapText="0"/>
    </xf>
    <xf borderId="15" fillId="0" fontId="3" numFmtId="164" xfId="0" applyAlignment="1" applyBorder="1" applyFont="1" applyNumberFormat="1">
      <alignment readingOrder="0" shrinkToFit="0" vertical="center" wrapText="0"/>
    </xf>
    <xf borderId="17" fillId="0" fontId="3" numFmtId="0" xfId="0" applyAlignment="1" applyBorder="1" applyFont="1">
      <alignment readingOrder="0" shrinkToFit="0" vertical="center" wrapText="0"/>
    </xf>
    <xf borderId="18" fillId="0" fontId="3" numFmtId="164" xfId="0" applyAlignment="1" applyBorder="1" applyFont="1" applyNumberFormat="1">
      <alignment readingOrder="0" shrinkToFit="0" vertical="center" wrapText="0"/>
    </xf>
    <xf borderId="19" fillId="0" fontId="2" numFmtId="0" xfId="0" applyAlignment="1" applyBorder="1" applyFont="1">
      <alignment readingOrder="0" shrinkToFit="0" vertical="center" wrapText="0"/>
    </xf>
    <xf borderId="20" fillId="0" fontId="2" numFmtId="164" xfId="0" applyAlignment="1" applyBorder="1" applyFont="1" applyNumberFormat="1">
      <alignment shrinkToFit="0" vertical="center" wrapText="0"/>
    </xf>
    <xf borderId="20" fillId="0" fontId="2" numFmtId="0" xfId="0" applyAlignment="1" applyBorder="1" applyFont="1">
      <alignment shrinkToFit="0" vertical="center" wrapText="0"/>
    </xf>
    <xf borderId="20" fillId="0" fontId="2" numFmtId="164" xfId="0" applyAlignment="1" applyBorder="1" applyFont="1" applyNumberFormat="1">
      <alignment readingOrder="0" shrinkToFit="0" vertical="center" wrapText="0"/>
    </xf>
    <xf borderId="21" fillId="0" fontId="2" numFmtId="164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Ark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H26" displayName="Tabel1" name="Tabel1" id="1">
  <tableColumns count="7">
    <tableColumn name="Kriterium" id="1"/>
    <tableColumn name="Polestar 2" id="2"/>
    <tableColumn name="Tesla Model Y" id="3"/>
    <tableColumn name="BMW iX1 xDrive 30M Sport" id="4"/>
    <tableColumn name="Kia Niro EV" id="5"/>
    <tableColumn name="Skoda Elroq 85" id="6"/>
    <tableColumn name="Kia EV3 Upgrade" id="7"/>
  </tableColumns>
  <tableStyleInfo name="Ark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dm.dk/nyheder/nyt-om-biler/2024-01-kaempe-oversigt-se-alle-spaendende-leasingtilbud-rabatter-kampagner?utm_source=chatgpt.com" TargetMode="External"/><Relationship Id="rId2" Type="http://schemas.openxmlformats.org/officeDocument/2006/relationships/hyperlink" Target="https://fdm.dk/nyheder/nyt-om-biler/2024-01-kaempe-oversigt-se-alle-spaendende-leasingtilbud-rabatter-kampagner?utm_source=chatgpt.com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24.5"/>
    <col customWidth="1" min="3" max="3" width="21.75"/>
    <col customWidth="1" min="4" max="4" width="20.38"/>
    <col customWidth="1" min="5" max="5" width="22.13"/>
    <col customWidth="1" min="6" max="6" width="25.13"/>
    <col customWidth="1" min="7" max="8" width="23.88"/>
  </cols>
  <sheetData>
    <row r="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</row>
    <row r="4">
      <c r="B4" s="4" t="s">
        <v>7</v>
      </c>
      <c r="C4" s="5"/>
      <c r="D4" s="6"/>
      <c r="E4" s="5"/>
      <c r="F4" s="5"/>
      <c r="G4" s="6"/>
      <c r="H4" s="7"/>
      <c r="I4" s="8"/>
    </row>
    <row r="5">
      <c r="B5" s="9" t="s">
        <v>8</v>
      </c>
      <c r="C5" s="10">
        <v>4295.0</v>
      </c>
      <c r="D5" s="11" t="s">
        <v>9</v>
      </c>
      <c r="E5" s="12">
        <v>4895.0</v>
      </c>
      <c r="F5" s="12">
        <v>4795.0</v>
      </c>
      <c r="G5" s="13" t="s">
        <v>10</v>
      </c>
      <c r="H5" s="14">
        <v>4095.0</v>
      </c>
    </row>
    <row r="6">
      <c r="B6" s="9" t="s">
        <v>11</v>
      </c>
      <c r="C6" s="11" t="s">
        <v>12</v>
      </c>
      <c r="D6" s="11" t="s">
        <v>13</v>
      </c>
      <c r="E6" s="12">
        <v>15000.0</v>
      </c>
      <c r="F6" s="12">
        <v>9995.0</v>
      </c>
      <c r="G6" s="12">
        <v>9995.0</v>
      </c>
      <c r="H6" s="14">
        <v>14995.0</v>
      </c>
    </row>
    <row r="7">
      <c r="B7" s="9" t="s">
        <v>14</v>
      </c>
      <c r="C7" s="12">
        <v>4995.0</v>
      </c>
      <c r="D7" s="12">
        <v>4995.0</v>
      </c>
      <c r="E7" s="12">
        <v>4995.0</v>
      </c>
      <c r="F7" s="12">
        <v>4995.0</v>
      </c>
      <c r="G7" s="12">
        <v>4995.0</v>
      </c>
      <c r="H7" s="14">
        <v>4995.0</v>
      </c>
    </row>
    <row r="8">
      <c r="B8" s="9" t="s">
        <v>15</v>
      </c>
      <c r="C8" s="11" t="s">
        <v>16</v>
      </c>
      <c r="D8" s="11" t="s">
        <v>16</v>
      </c>
      <c r="E8" s="15" t="s">
        <v>16</v>
      </c>
      <c r="F8" s="15" t="s">
        <v>16</v>
      </c>
      <c r="G8" s="16" t="s">
        <v>17</v>
      </c>
      <c r="H8" s="17" t="s">
        <v>16</v>
      </c>
    </row>
    <row r="9">
      <c r="B9" s="9" t="s">
        <v>18</v>
      </c>
      <c r="C9" s="11" t="s">
        <v>19</v>
      </c>
      <c r="D9" s="11" t="s">
        <v>20</v>
      </c>
      <c r="E9" s="18" t="s">
        <v>21</v>
      </c>
      <c r="F9" s="19" t="s">
        <v>21</v>
      </c>
      <c r="G9" s="19" t="s">
        <v>21</v>
      </c>
      <c r="H9" s="20" t="s">
        <v>21</v>
      </c>
    </row>
    <row r="10">
      <c r="B10" s="9" t="s">
        <v>22</v>
      </c>
      <c r="C10" s="15" t="s">
        <v>23</v>
      </c>
      <c r="D10" s="15" t="s">
        <v>23</v>
      </c>
      <c r="E10" s="15" t="s">
        <v>24</v>
      </c>
      <c r="F10" s="15" t="s">
        <v>24</v>
      </c>
      <c r="G10" s="15" t="s">
        <v>24</v>
      </c>
      <c r="H10" s="17" t="s">
        <v>24</v>
      </c>
    </row>
    <row r="11">
      <c r="B11" s="9" t="s">
        <v>25</v>
      </c>
      <c r="C11" s="21">
        <v>169615.0</v>
      </c>
      <c r="D11" s="11" t="s">
        <v>26</v>
      </c>
      <c r="E11" s="15" t="s">
        <v>24</v>
      </c>
      <c r="F11" s="12">
        <v>183615.0</v>
      </c>
      <c r="G11" s="19" t="s">
        <v>27</v>
      </c>
      <c r="H11" s="14">
        <v>163415.0</v>
      </c>
    </row>
    <row r="12">
      <c r="B12" s="9" t="s">
        <v>28</v>
      </c>
      <c r="C12" s="22"/>
      <c r="D12" s="15"/>
      <c r="E12" s="12"/>
      <c r="F12" s="23">
        <v>68535.0</v>
      </c>
      <c r="G12" s="24">
        <v>64835.0</v>
      </c>
      <c r="H12" s="25" t="s">
        <v>29</v>
      </c>
    </row>
    <row r="13">
      <c r="B13" s="9" t="s">
        <v>30</v>
      </c>
      <c r="C13" s="22"/>
      <c r="D13" s="15"/>
      <c r="E13" s="12">
        <v>20.0</v>
      </c>
      <c r="F13" s="12"/>
      <c r="G13" s="15"/>
      <c r="H13" s="14"/>
    </row>
    <row r="14">
      <c r="B14" s="9" t="s">
        <v>31</v>
      </c>
      <c r="C14" s="22"/>
      <c r="D14" s="15"/>
      <c r="E14" s="12"/>
      <c r="F14" s="12"/>
      <c r="G14" s="15">
        <v>600.0</v>
      </c>
      <c r="H14" s="14"/>
    </row>
    <row r="15">
      <c r="B15" s="26" t="s">
        <v>32</v>
      </c>
      <c r="C15" s="27"/>
      <c r="D15" s="28"/>
      <c r="E15" s="27"/>
      <c r="F15" s="27"/>
      <c r="G15" s="28"/>
      <c r="H15" s="29"/>
    </row>
    <row r="16">
      <c r="B16" s="30" t="s">
        <v>33</v>
      </c>
      <c r="C16" s="31" t="s">
        <v>34</v>
      </c>
      <c r="D16" s="31" t="s">
        <v>34</v>
      </c>
      <c r="E16" s="32"/>
      <c r="F16" s="33">
        <v>420.0</v>
      </c>
      <c r="G16" s="34" t="s">
        <v>35</v>
      </c>
      <c r="H16" s="35">
        <v>420.0</v>
      </c>
    </row>
    <row r="17">
      <c r="B17" s="36" t="s">
        <v>36</v>
      </c>
      <c r="C17" s="37"/>
      <c r="D17" s="38"/>
      <c r="E17" s="39" t="s">
        <v>37</v>
      </c>
      <c r="F17" s="40" t="s">
        <v>38</v>
      </c>
      <c r="G17" s="39" t="s">
        <v>39</v>
      </c>
      <c r="H17" s="41" t="s">
        <v>40</v>
      </c>
    </row>
    <row r="18">
      <c r="B18" s="30" t="s">
        <v>41</v>
      </c>
      <c r="C18" s="42" t="s">
        <v>42</v>
      </c>
      <c r="D18" s="42" t="s">
        <v>42</v>
      </c>
      <c r="E18" s="42" t="s">
        <v>42</v>
      </c>
      <c r="F18" s="42" t="s">
        <v>42</v>
      </c>
      <c r="G18" s="42" t="s">
        <v>42</v>
      </c>
      <c r="H18" s="43" t="s">
        <v>42</v>
      </c>
    </row>
    <row r="19">
      <c r="B19" s="36" t="s">
        <v>43</v>
      </c>
      <c r="C19" s="40"/>
      <c r="D19" s="39"/>
      <c r="E19" s="40"/>
      <c r="F19" s="42"/>
      <c r="G19" s="39"/>
      <c r="H19" s="43"/>
    </row>
    <row r="20">
      <c r="B20" s="30" t="s">
        <v>44</v>
      </c>
      <c r="C20" s="33"/>
      <c r="D20" s="31"/>
      <c r="E20" s="33"/>
      <c r="F20" s="44" t="s">
        <v>45</v>
      </c>
      <c r="G20" s="31"/>
      <c r="H20" s="43" t="s">
        <v>46</v>
      </c>
    </row>
    <row r="21">
      <c r="B21" s="26" t="s">
        <v>47</v>
      </c>
      <c r="C21" s="45"/>
      <c r="D21" s="46"/>
      <c r="E21" s="45"/>
      <c r="F21" s="45"/>
      <c r="G21" s="46"/>
      <c r="H21" s="47"/>
    </row>
    <row r="22">
      <c r="B22" s="30" t="s">
        <v>48</v>
      </c>
      <c r="C22" s="48"/>
      <c r="D22" s="49"/>
      <c r="E22" s="50" t="s">
        <v>49</v>
      </c>
      <c r="F22" s="51" t="s">
        <v>50</v>
      </c>
      <c r="G22" s="49"/>
      <c r="H22" s="52" t="s">
        <v>51</v>
      </c>
    </row>
    <row r="23">
      <c r="B23" s="36" t="s">
        <v>52</v>
      </c>
      <c r="C23" s="53"/>
      <c r="D23" s="54"/>
      <c r="E23" s="50" t="s">
        <v>53</v>
      </c>
      <c r="F23" s="51" t="s">
        <v>54</v>
      </c>
      <c r="G23" s="54"/>
      <c r="H23" s="52" t="s">
        <v>55</v>
      </c>
    </row>
    <row r="24">
      <c r="B24" s="30" t="s">
        <v>56</v>
      </c>
      <c r="C24" s="48"/>
      <c r="D24" s="49"/>
      <c r="E24" s="48"/>
      <c r="F24" s="55" t="s">
        <v>57</v>
      </c>
      <c r="G24" s="49"/>
      <c r="H24" s="56" t="s">
        <v>58</v>
      </c>
    </row>
    <row r="25">
      <c r="B25" s="36" t="s">
        <v>59</v>
      </c>
      <c r="C25" s="53"/>
      <c r="D25" s="54"/>
      <c r="E25" s="53"/>
      <c r="F25" s="57" t="s">
        <v>60</v>
      </c>
      <c r="G25" s="54"/>
      <c r="H25" s="58" t="s">
        <v>61</v>
      </c>
    </row>
    <row r="26">
      <c r="B26" s="59" t="s">
        <v>62</v>
      </c>
      <c r="C26" s="60"/>
      <c r="D26" s="61"/>
      <c r="E26" s="62" t="s">
        <v>63</v>
      </c>
      <c r="F26" s="62"/>
      <c r="G26" s="61"/>
      <c r="H26" s="63"/>
    </row>
    <row r="28">
      <c r="B28" s="64" t="s">
        <v>64</v>
      </c>
      <c r="C28" s="64" t="s">
        <v>65</v>
      </c>
    </row>
    <row r="29">
      <c r="A29" s="64" t="s">
        <v>66</v>
      </c>
      <c r="B29" s="64" t="s">
        <v>67</v>
      </c>
      <c r="C29" s="64">
        <v>19.0</v>
      </c>
    </row>
    <row r="30">
      <c r="A30" s="64" t="s">
        <v>68</v>
      </c>
      <c r="B30" s="64" t="s">
        <v>69</v>
      </c>
      <c r="C30" s="64">
        <v>105.0</v>
      </c>
    </row>
    <row r="31">
      <c r="A31" s="64" t="s">
        <v>70</v>
      </c>
      <c r="B31" s="64" t="s">
        <v>69</v>
      </c>
      <c r="C31" s="64">
        <v>30.0</v>
      </c>
    </row>
    <row r="32">
      <c r="A32" s="64" t="s">
        <v>71</v>
      </c>
      <c r="B32" s="64" t="s">
        <v>72</v>
      </c>
      <c r="C32" s="64">
        <v>15.0</v>
      </c>
    </row>
    <row r="34">
      <c r="C34" s="64">
        <v>8000.0</v>
      </c>
    </row>
  </sheetData>
  <dataValidations>
    <dataValidation type="custom" allowBlank="1" showDropDown="1" sqref="C4:C26 E4:F26 H4:H26">
      <formula1>AND(ISNUMBER(C4),(NOT(OR(NOT(ISERROR(DATEVALUE(C4))), AND(ISNUMBER(C4), LEFT(CELL("format", C4))="D")))))</formula1>
    </dataValidation>
  </dataValidations>
  <hyperlinks>
    <hyperlink r:id="rId1" ref="G8"/>
    <hyperlink r:id="rId2" ref="G16"/>
  </hyperlinks>
  <drawing r:id="rId3"/>
  <tableParts count="1">
    <tablePart r:id="rId5"/>
  </tableParts>
</worksheet>
</file>